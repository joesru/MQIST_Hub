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a Asignaturas" sheetId="1" state="visible" r:id="rId3"/>
    <sheet name="Optativas Repetidas" sheetId="2" state="visible" r:id="rId4"/>
    <sheet name="Optativas Exclusivas" sheetId="3" state="visible" r:id="rId5"/>
    <sheet name="Horarios y Solapamien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<sst xmlns="http://schemas.openxmlformats.org/spreadsheetml/2006/main" count="411" uniqueCount="181">
  <si>
    <t xml:space="preserve">🎓 MQIST – Comparativa de los 3 Itinerarios Recomendados</t>
  </si>
  <si>
    <t xml:space="preserve">Verde = obligatoria · Naranja = optativa exclusiva de 1 itinerario · Amarillo = compartida por 2 · Azul = común a los 3</t>
  </si>
  <si>
    <t xml:space="preserve">Asignatura</t>
  </si>
  <si>
    <t xml:space="preserve">Tipo</t>
  </si>
  <si>
    <t xml:space="preserve">Módulo</t>
  </si>
  <si>
    <t xml:space="preserve">Semestre / Periodo</t>
  </si>
  <si>
    <t xml:space="preserve">ECTS</t>
  </si>
  <si>
    <t xml:space="preserve">Universidad</t>
  </si>
  <si>
    <t xml:space="preserve">Profesorado</t>
  </si>
  <si>
    <t xml:space="preserve">Horario (día y hora)</t>
  </si>
  <si>
    <t xml:space="preserve">Itin. 1
(Sevilla-Aeroesp./Defensa)</t>
  </si>
  <si>
    <t xml:space="preserve">Itin. 2
(Sevilla)</t>
  </si>
  <si>
    <t xml:space="preserve">Itin. 3
(Córdoba)</t>
  </si>
  <si>
    <t xml:space="preserve">Nº Itinerarios</t>
  </si>
  <si>
    <t xml:space="preserve">Categoría</t>
  </si>
  <si>
    <t xml:space="preserve">Observación horario</t>
  </si>
  <si>
    <t xml:space="preserve">Mecánica Cuántica I</t>
  </si>
  <si>
    <t xml:space="preserve">Obligatoria</t>
  </si>
  <si>
    <t xml:space="preserve">Obligatorio</t>
  </si>
  <si>
    <t xml:space="preserve">S1 (Sep-Oct)</t>
  </si>
  <si>
    <t xml:space="preserve">Universidad de Vigo (UVIGO)</t>
  </si>
  <si>
    <t xml:space="preserve">Ángel Paredes Galán</t>
  </si>
  <si>
    <t xml:space="preserve">L a J 15:00-19:00</t>
  </si>
  <si>
    <t xml:space="preserve">Sí</t>
  </si>
  <si>
    <t xml:space="preserve">Obligatoria (común)</t>
  </si>
  <si>
    <t xml:space="preserve">Confirmado en Itin. 1</t>
  </si>
  <si>
    <t xml:space="preserve">Mecánica Cuántica II</t>
  </si>
  <si>
    <t xml:space="preserve">S1 (Sep-Ene, continua)</t>
  </si>
  <si>
    <t xml:space="preserve">Universidad de Santiago de Compostela (USC)</t>
  </si>
  <si>
    <t xml:space="preserve">José Manuel Sánchez De Santos</t>
  </si>
  <si>
    <t xml:space="preserve">L y X 17:00-19:00</t>
  </si>
  <si>
    <t xml:space="preserve">Fundamentos de Información Cuántica</t>
  </si>
  <si>
    <t xml:space="preserve">Javier Mas Solé</t>
  </si>
  <si>
    <t xml:space="preserve">L y X 15:00-17:00</t>
  </si>
  <si>
    <t xml:space="preserve">Introducción a la Computación Cuántica</t>
  </si>
  <si>
    <t xml:space="preserve">Universidad de A Coruña (UDC)</t>
  </si>
  <si>
    <t xml:space="preserve">Eduardo Mosqueira Rey / Vicente Moret Bonillo (según itinerario)</t>
  </si>
  <si>
    <t xml:space="preserve">M y J 15:00-17:00</t>
  </si>
  <si>
    <t xml:space="preserve">Mismo hueco horario; coordinador citado difiere entre Itin.2 y 3 — verificar si es la misma clase o grupo distinto</t>
  </si>
  <si>
    <t xml:space="preserve">Fundamentos de Comunicaciones Cuánticas</t>
  </si>
  <si>
    <t xml:space="preserve">Marcos Curty Alonso</t>
  </si>
  <si>
    <t xml:space="preserve">M y J 17:00-19:00</t>
  </si>
  <si>
    <t xml:space="preserve">Prácticas Externas I</t>
  </si>
  <si>
    <t xml:space="preserve">S2 (Adaptado)</t>
  </si>
  <si>
    <t xml:space="preserve">(A definir / empresa)</t>
  </si>
  <si>
    <t xml:space="preserve">Tutor Empresa / Académico</t>
  </si>
  <si>
    <t xml:space="preserve">Horario adaptado a la empresa</t>
  </si>
  <si>
    <t xml:space="preserve">Sin conflicto: horario flexible</t>
  </si>
  <si>
    <t xml:space="preserve">Trabajo de Fin de Máster</t>
  </si>
  <si>
    <t xml:space="preserve">Comunicaciones Cuánticas Avanzadas</t>
  </si>
  <si>
    <t xml:space="preserve">Optativa</t>
  </si>
  <si>
    <t xml:space="preserve">Comunicaciones Cuánticas</t>
  </si>
  <si>
    <t xml:space="preserve">S1 2º Bimestre (Nov-Dic)</t>
  </si>
  <si>
    <t xml:space="preserve">Optativa común a los 3</t>
  </si>
  <si>
    <t xml:space="preserve">Horario confirmado (Itin.1); no solapa con Tec.Fotónicas ni Arquitecturas</t>
  </si>
  <si>
    <t xml:space="preserve">Tecnologías Fotónicas para Comunicaciones Cuánticas</t>
  </si>
  <si>
    <t xml:space="preserve">José Ramón Salgueiro Piñeiro</t>
  </si>
  <si>
    <t xml:space="preserve">Horario confirmado (Itin.1); no solapa con Comms. Avanzadas ni Arquitecturas</t>
  </si>
  <si>
    <t xml:space="preserve">Arquitecturas de la Computación Cuántica</t>
  </si>
  <si>
    <t xml:space="preserve">Optativas Libres / Comp. Cuántica</t>
  </si>
  <si>
    <t xml:space="preserve">Diego Álvarez Estévez</t>
  </si>
  <si>
    <t xml:space="preserve">Horario confirmado (Itin.1); no solapa con las otras del 2º bimestre</t>
  </si>
  <si>
    <t xml:space="preserve">Comunicaciones Cuánticas Vía Satélite</t>
  </si>
  <si>
    <t xml:space="preserve">Optativas Libres</t>
  </si>
  <si>
    <t xml:space="preserve">S2 1º Bimestre (Ene-Mar)</t>
  </si>
  <si>
    <t xml:space="preserve">Carlos Mosquera Nartallo</t>
  </si>
  <si>
    <t xml:space="preserve">Horario confirmado (Itin.1); no solapa con Redes</t>
  </si>
  <si>
    <t xml:space="preserve">Redes de Comunicaciones Cuánticas</t>
  </si>
  <si>
    <t xml:space="preserve">Ana Fernández Vilas</t>
  </si>
  <si>
    <t xml:space="preserve">Horario confirmado (Itin.1); no solapa con Satélite</t>
  </si>
  <si>
    <t xml:space="preserve">Teoría de la Información Cuántica Avanzada</t>
  </si>
  <si>
    <t xml:space="preserve">Manuel Fernández Veiga</t>
  </si>
  <si>
    <t xml:space="preserve">Exclusiva Itin. 1</t>
  </si>
  <si>
    <t xml:space="preserve">Ocupa el 4º hueco del 2º bimestre S1. En Itin.2/3 ese hueco lo ocupa Óptica Cuántica -&gt; son alternativas mutuamente excluyentes de facto</t>
  </si>
  <si>
    <t xml:space="preserve">Óptica Cuántica</t>
  </si>
  <si>
    <t xml:space="preserve">Física de la Información Cuántica</t>
  </si>
  <si>
    <t xml:space="preserve">Jesús Liñares Beiras</t>
  </si>
  <si>
    <t xml:space="preserve">No especificado en Itin. 2/3</t>
  </si>
  <si>
    <t xml:space="preserve">Compartida Itin. 2 y 3</t>
  </si>
  <si>
    <t xml:space="preserve">Sin hora exacta en la fuente; según el reparto de créditos ocupa el mismo bimestre (Nov-Dic) que Teoría de Inf. Avanzada -&gt; revisar si comparte el mismo hueco de 4ª asignatura</t>
  </si>
  <si>
    <t xml:space="preserve">Códigos de Corrección de Errores</t>
  </si>
  <si>
    <t xml:space="preserve">Horario confirmado; no solapa con Satélite ni Redes</t>
  </si>
  <si>
    <t xml:space="preserve">Técnicas Experimentales para la Información Cuántica</t>
  </si>
  <si>
    <t xml:space="preserve">S1 Intensiva (Diciembre)</t>
  </si>
  <si>
    <t xml:space="preserve">Xesús Prieto Blanco</t>
  </si>
  <si>
    <t xml:space="preserve">No especificado (formato intensivo presencial)</t>
  </si>
  <si>
    <t xml:space="preserve">Formato intensivo de laboratorio en diciembre; en principio no compite con las clases regulares de tarde, pero conviene confirmar fechas exactas por si coincide con exámenes u otras intensivas</t>
  </si>
  <si>
    <t xml:space="preserve">Métodos Numéricos en Computación Cuántica</t>
  </si>
  <si>
    <t xml:space="preserve">Carlos Vázquez Cendón</t>
  </si>
  <si>
    <t xml:space="preserve">Sin hora exacta; Itin.2 mete 4 optativas en Ene-Mar (Satélite+Redes+Métodos+Fotónica Semic.) cuando en Itin.1 solo hay 3 huecos horarios confirmados en ese periodo -&gt; verificar con coordinación que caben sin solape</t>
  </si>
  <si>
    <t xml:space="preserve">Fotónica de Semiconductores</t>
  </si>
  <si>
    <t xml:space="preserve">No especificado en Itin. 2</t>
  </si>
  <si>
    <t xml:space="preserve">Exclusiva Itin. 2 (nota: el 1 en Itin.1 es un error de control, ver abajo)</t>
  </si>
  <si>
    <t xml:space="preserve">Exclusiva Itin. 2</t>
  </si>
  <si>
    <t xml:space="preserve">Aplicaciones Prácticas de la Computación Cuántica</t>
  </si>
  <si>
    <t xml:space="preserve">S2 2º Bimestre (Mar-Abr)</t>
  </si>
  <si>
    <t xml:space="preserve">Compartida Itin. 1 y 3</t>
  </si>
  <si>
    <t xml:space="preserve">Horario confirmado; no solapa con nada del resto del itinerario</t>
  </si>
  <si>
    <t xml:space="preserve">Prácticas Externas II</t>
  </si>
  <si>
    <t xml:space="preserve">Obligatorio (ampliación)</t>
  </si>
  <si>
    <t xml:space="preserve">🔁 Optativas que se repiten entre itinerarios</t>
  </si>
  <si>
    <t xml:space="preserve">Estas asignaturas aparecen en 2 o 3 de los itinerarios: elegirlas no te cierra ninguna puerta de perfil profesional</t>
  </si>
  <si>
    <t xml:space="preserve">En cuántos itinerarios</t>
  </si>
  <si>
    <t xml:space="preserve">Itinerarios</t>
  </si>
  <si>
    <t xml:space="preserve">Periodo</t>
  </si>
  <si>
    <t xml:space="preserve">Horario</t>
  </si>
  <si>
    <t xml:space="preserve">Por qué es una elección flexible</t>
  </si>
  <si>
    <t xml:space="preserve">Itin. 1, 2 y 3</t>
  </si>
  <si>
    <t xml:space="preserve">Es la única optativa de ciberseguridad/QKD presente en los 3 perfiles: siempre suma valor (Airbus, Indra, Sener, defensa).</t>
  </si>
  <si>
    <t xml:space="preserve">Hardware fotónico (láseres, fibra, espacio libre): base común para perfiles de instrumentación en los 3 planes.</t>
  </si>
  <si>
    <t xml:space="preserve">Microarquitectura y pila tecnológica: valorada tanto en microelectrónica (IMSE-CNM) como en defensa e industria.</t>
  </si>
  <si>
    <t xml:space="preserve">Asignatura 'estrella' para el sector aeroespacial y de defensa en los 3 itinerarios: Airbus, Sener, INTA, Indra.</t>
  </si>
  <si>
    <t xml:space="preserve">Arquitectura de Internet Cuántico: útil para infraestructuras críticas gubernamentales en cualquiera de los 3 perfiles.</t>
  </si>
  <si>
    <t xml:space="preserve">Itin. 1 y 3</t>
  </si>
  <si>
    <t xml:space="preserve">Optimización y logística: clave si te interesa el perfil BLET/logística (Itin.3) o el industrial general (Itin.1).</t>
  </si>
  <si>
    <t xml:space="preserve">Itin. 2 y 3</t>
  </si>
  <si>
    <t xml:space="preserve">No especificado en la fuente</t>
  </si>
  <si>
    <t xml:space="preserve">Presente en los dos itinerarios andaluces (Sevilla y Córdoba): clave para Indra (radares/LIDAR) y para Alter/IMSE-CNM.</t>
  </si>
  <si>
    <t xml:space="preserve">No especificado (intensivo)</t>
  </si>
  <si>
    <t xml:space="preserve">Prácticas de laboratorio reales: presente en los dos itinerarios andaluces, valorada por Indra e IMSE-CNM/Alter.</t>
  </si>
  <si>
    <t xml:space="preserve">Simulación y linealización: presente en los dos itinerarios andaluces, útil tanto para Sener como para radares de Indra.</t>
  </si>
  <si>
    <t xml:space="preserve">🎯 Optativas exclusivas de cada itinerario (lo que de verdad tienes que decidir)</t>
  </si>
  <si>
    <t xml:space="preserve">Son las asignaturas que NO se repiten: aquí es donde tu elección de itinerario marca una diferencia real</t>
  </si>
  <si>
    <t xml:space="preserve">Itinerario</t>
  </si>
  <si>
    <t xml:space="preserve">Asignatura exclusiva</t>
  </si>
  <si>
    <t xml:space="preserve">Qué perfil habilita</t>
  </si>
  <si>
    <t xml:space="preserve">Coste de oportunidad si no la eliges</t>
  </si>
  <si>
    <t xml:space="preserve">Itin. 1 (Aeroespacial / Industria)</t>
  </si>
  <si>
    <t xml:space="preserve">Capacidad de canales cuánticos y compresión de datos — perfil de ciberseguridad/redes avanzado.</t>
  </si>
  <si>
    <t xml:space="preserve">Pierdes profundidad teórica en teoría de la información; en Itin. 2/3 ese hueco lo cubre Óptica Cuántica.</t>
  </si>
  <si>
    <t xml:space="preserve">Tolerancia a fallos en sistemas críticos militares o de defensa.</t>
  </si>
  <si>
    <t xml:space="preserve">No se imparte en Itin. 2 ni 3: si te interesa la corrección de errores cuánticos, solo la tienes en este itinerario.</t>
  </si>
  <si>
    <t xml:space="preserve">Duplica el tiempo en empresa: máxima probabilidad de contrato posterior.</t>
  </si>
  <si>
    <t xml:space="preserve">Es la única de los tres planes con 2ª fase de prácticas — Itin. 2 y 3 no la incluyen, con lo que tienen menos horas de inmersión corporativa salvo que la añadas tú aparte.</t>
  </si>
  <si>
    <t xml:space="preserve">Itin. 2 (Sevilla)</t>
  </si>
  <si>
    <t xml:space="preserve">Puntos/pozos cuánticos, LEDs de fotón único, detectores SPAD — sensores embarcados y microelectrónica.</t>
  </si>
  <si>
    <t xml:space="preserve">Es la única diferencia real entre Itin. 2 e Itin. 3: si no la eliges, tu plan de Sevilla pasa a ser prácticamente idéntico al de Córdoba.</t>
  </si>
  <si>
    <t xml:space="preserve">Itin. 3 (Córdoba)</t>
  </si>
  <si>
    <t xml:space="preserve">— (sin asignatura exclusiva propia)</t>
  </si>
  <si>
    <t xml:space="preserve">—</t>
  </si>
  <si>
    <t xml:space="preserve">Itin. 3 no tiene ninguna optativa que no aparezca ya en Itin. 1 o Itin. 2.</t>
  </si>
  <si>
    <t xml:space="preserve">Importante: Itin. 3 es una combinación de piezas de Itin. 1 (Aplicaciones Prácticas) e Itin. 2 (Óptica Cuántica, Técnicas Experimentales, Métodos Numéricos) — no aporta ninguna asignatura nueva por sí mismo.</t>
  </si>
  <si>
    <t xml:space="preserve">🕒 Cuadrícula de horarios confirmados y riesgo de solapamiento</t>
  </si>
  <si>
    <t xml:space="preserve">Rojo = horario no confirmado en la fuente, revisar con coordinación antes de matricular</t>
  </si>
  <si>
    <t xml:space="preserve">Franja horaria</t>
  </si>
  <si>
    <t xml:space="preserve">Asignatura confirmada (Itin. 1)</t>
  </si>
  <si>
    <t xml:space="preserve">¿Aparece también en Itin. 2/3?</t>
  </si>
  <si>
    <t xml:space="preserve">Riesgo de solape</t>
  </si>
  <si>
    <t xml:space="preserve">Nota</t>
  </si>
  <si>
    <t xml:space="preserve">S1 1º Bimestre (Sep-Oct)</t>
  </si>
  <si>
    <t xml:space="preserve">L-J 15:00-19:00 / M-J 15:00-19:00</t>
  </si>
  <si>
    <t xml:space="preserve">Mecánica Cuántica I + Introd. Comp. Cuántica + Fund. Comms. Cuánticas (obligatorias)</t>
  </si>
  <si>
    <t xml:space="preserve">Sí, idénticas en los 3</t>
  </si>
  <si>
    <t xml:space="preserve">Ninguno</t>
  </si>
  <si>
    <t xml:space="preserve">Bloque obligatorio, igual en los 3 itinerarios</t>
  </si>
  <si>
    <t xml:space="preserve">S1 Sep-Ene (continuas)</t>
  </si>
  <si>
    <t xml:space="preserve">L y X 15:00-19:00</t>
  </si>
  <si>
    <t xml:space="preserve">Mecánica Cuántica II + Fundamentos de Información Cuántica (obligatorias)</t>
  </si>
  <si>
    <t xml:space="preserve">Se solapan entre sí en día pero en horas distintas (15-17 y 17-19): sin conflicto</t>
  </si>
  <si>
    <t xml:space="preserve">Sí, en los 3</t>
  </si>
  <si>
    <t xml:space="preserve">Ninguno confirmado</t>
  </si>
  <si>
    <t xml:space="preserve">Teoría de la Información Cuántica Avanzada (solo Itin. 1)</t>
  </si>
  <si>
    <t xml:space="preserve">En Itin. 2/3 este hueco lo ocupa Óptica Cuántica (sin hora confirmada)</t>
  </si>
  <si>
    <t xml:space="preserve">MEDIO</t>
  </si>
  <si>
    <t xml:space="preserve">Todo indica que ambas comparten el mismo hueco de horario del 2º bimestre: probablemente sean alternativas mutuamente excluyentes, no asignaturas que se puedan cursar a la vez</t>
  </si>
  <si>
    <t xml:space="preserve">Sin horario detallado</t>
  </si>
  <si>
    <t xml:space="preserve">Técnicas Experimentales para la Información Cuántica (solo Itin. 2/3)</t>
  </si>
  <si>
    <t xml:space="preserve">No aparece en Itin. 1</t>
  </si>
  <si>
    <t xml:space="preserve">BAJO (formato intensivo, no clases regulares)</t>
  </si>
  <si>
    <t xml:space="preserve">Al ser un bloque intensivo de laboratorio, previsiblemente no compite con las clases de tarde regulares, pero conviene confirmar fechas exactas</t>
  </si>
  <si>
    <t xml:space="preserve">Códigos de Corrección de Errores (solo Itin. 1)</t>
  </si>
  <si>
    <t xml:space="preserve">No aparece en Itin. 2/3</t>
  </si>
  <si>
    <t xml:space="preserve">Hueco libre en Itin. 2/3 durante este periodo</t>
  </si>
  <si>
    <t xml:space="preserve">Métodos Numéricos en Comp. Cuántica (Itin. 2/3) + Fotónica de Semiconductores (solo Itin. 2)</t>
  </si>
  <si>
    <t xml:space="preserve">No aparecen en Itin. 1</t>
  </si>
  <si>
    <t xml:space="preserve">ALTO — VERIFICAR</t>
  </si>
  <si>
    <t xml:space="preserve">Itin. 2 mete 4 optativas en Ene-Mar (Satélite+Redes+Métodos+Fotónica) pero solo hay 3 franjas horarias confirmadas en ese bimestre según Itin. 1. Es imprescindible pedir el horario oficial antes de matricular ambas a la vez</t>
  </si>
  <si>
    <t xml:space="preserve">Sí, en Itin. 1 y 3</t>
  </si>
  <si>
    <t xml:space="preserve">En Itin.2 este hueco queda libre porque no se cursa esta asignatura</t>
  </si>
  <si>
    <t xml:space="preserve">⚠️ Nota metodológica:</t>
  </si>
  <si>
    <t xml:space="preserve">Los horarios exactos (día/hora) solo constan de forma explícita en el documento del Itinerario 1. Los documentos de Itinerario 2 y 3 solo indican el bimestre/periodo, no la franja horaria concreta de Óptica Cuántica, Técnicas Experimentales, Métodos Numéricos y Fotónica de Semiconductores. Antes de matricularte, pide a la coordinación (Javier Mas Solé / Eduardo Mosqueira Rey) el horario oficial completo del curso para confirmar que las combinaciones de Itin. 2 y 3 no solapan en la práctica.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</si>
</sst>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C6E0B4"/>
      </patternFill>
    </fill>
    <fill>
      <patternFill patternType="solid">
        <fgColor rgb="FFC6E0B4"/>
        <bgColor rgb="FFBDD7EE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FF7C80"/>
        <bgColor rgb="FFFF99CC"/>
      </patternFill>
    </fill>
    <fill>
      <patternFill patternType="solid">
        <fgColor rgb="FFE2E2E2"/>
        <bgColor rgb="FFFFF2CC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2E2E2"/>
      <rgbColor rgb="FF660066"/>
      <rgbColor rgb="FFFF7C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4" min="3" style="0" width="20"/>
    <col collapsed="false" customWidth="true" hidden="false" outlineLevel="0" max="5" min="5" style="0" width="6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12" min="9" style="0" width="10"/>
    <col collapsed="false" customWidth="true" hidden="false" outlineLevel="0" max="13" min="13" style="0" width="22"/>
    <col collapsed="false" customWidth="true" hidden="false" outlineLevel="0" max="14" min="14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5" hidden="false" customHeight="false" outlineLevel="0" collapsed="false">
      <c r="A4" s="4" t="s">
        <v>16</v>
      </c>
      <c r="B4" s="5" t="s">
        <v>17</v>
      </c>
      <c r="C4" s="4" t="s">
        <v>18</v>
      </c>
      <c r="D4" s="5" t="s">
        <v>19</v>
      </c>
      <c r="E4" s="5" t="n">
        <v>3</v>
      </c>
      <c r="F4" s="5" t="s">
        <v>20</v>
      </c>
      <c r="G4" s="4" t="s">
        <v>21</v>
      </c>
      <c r="H4" s="6" t="s">
        <v>22</v>
      </c>
      <c r="I4" s="7" t="s">
        <v>23</v>
      </c>
      <c r="J4" s="7" t="s">
        <v>23</v>
      </c>
      <c r="K4" s="7" t="s">
        <v>23</v>
      </c>
      <c r="L4" s="5" t="n">
        <f aca="false">COUNTIF(I4,"Sí")+COUNTIF(J4,"Sí")+COUNTIF(K4,"Sí")</f>
        <v>3</v>
      </c>
      <c r="M4" s="4" t="s">
        <v>24</v>
      </c>
      <c r="N4" s="6" t="s">
        <v>25</v>
      </c>
    </row>
    <row r="5" customFormat="false" ht="23.85" hidden="false" customHeight="false" outlineLevel="0" collapsed="false">
      <c r="A5" s="4" t="s">
        <v>26</v>
      </c>
      <c r="B5" s="5" t="s">
        <v>17</v>
      </c>
      <c r="C5" s="4" t="s">
        <v>18</v>
      </c>
      <c r="D5" s="5" t="s">
        <v>27</v>
      </c>
      <c r="E5" s="5" t="n">
        <v>3</v>
      </c>
      <c r="F5" s="5" t="s">
        <v>28</v>
      </c>
      <c r="G5" s="4" t="s">
        <v>29</v>
      </c>
      <c r="H5" s="6" t="s">
        <v>30</v>
      </c>
      <c r="I5" s="7" t="s">
        <v>23</v>
      </c>
      <c r="J5" s="7" t="s">
        <v>23</v>
      </c>
      <c r="K5" s="7" t="s">
        <v>23</v>
      </c>
      <c r="L5" s="5" t="n">
        <f aca="false">COUNTIF(I5,"Sí")+COUNTIF(J5,"Sí")+COUNTIF(K5,"Sí")</f>
        <v>3</v>
      </c>
      <c r="M5" s="4" t="s">
        <v>24</v>
      </c>
      <c r="N5" s="6" t="s">
        <v>25</v>
      </c>
    </row>
    <row r="6" customFormat="false" ht="23.85" hidden="false" customHeight="false" outlineLevel="0" collapsed="false">
      <c r="A6" s="4" t="s">
        <v>31</v>
      </c>
      <c r="B6" s="5" t="s">
        <v>17</v>
      </c>
      <c r="C6" s="4" t="s">
        <v>18</v>
      </c>
      <c r="D6" s="5" t="s">
        <v>27</v>
      </c>
      <c r="E6" s="5" t="n">
        <v>3</v>
      </c>
      <c r="F6" s="5" t="s">
        <v>28</v>
      </c>
      <c r="G6" s="4" t="s">
        <v>32</v>
      </c>
      <c r="H6" s="6" t="s">
        <v>33</v>
      </c>
      <c r="I6" s="7" t="s">
        <v>23</v>
      </c>
      <c r="J6" s="7" t="s">
        <v>23</v>
      </c>
      <c r="K6" s="7" t="s">
        <v>23</v>
      </c>
      <c r="L6" s="5" t="n">
        <f aca="false">COUNTIF(I6,"Sí")+COUNTIF(J6,"Sí")+COUNTIF(K6,"Sí")</f>
        <v>3</v>
      </c>
      <c r="M6" s="4" t="s">
        <v>24</v>
      </c>
      <c r="N6" s="6" t="s">
        <v>25</v>
      </c>
    </row>
    <row r="7" customFormat="false" ht="35.05" hidden="false" customHeight="false" outlineLevel="0" collapsed="false">
      <c r="A7" s="4" t="s">
        <v>34</v>
      </c>
      <c r="B7" s="5" t="s">
        <v>17</v>
      </c>
      <c r="C7" s="4" t="s">
        <v>18</v>
      </c>
      <c r="D7" s="5" t="s">
        <v>19</v>
      </c>
      <c r="E7" s="5" t="n">
        <v>3</v>
      </c>
      <c r="F7" s="5" t="s">
        <v>35</v>
      </c>
      <c r="G7" s="4" t="s">
        <v>36</v>
      </c>
      <c r="H7" s="6" t="s">
        <v>37</v>
      </c>
      <c r="I7" s="7" t="s">
        <v>23</v>
      </c>
      <c r="J7" s="7" t="s">
        <v>23</v>
      </c>
      <c r="K7" s="7" t="s">
        <v>23</v>
      </c>
      <c r="L7" s="5" t="n">
        <f aca="false">COUNTIF(I7,"Sí")+COUNTIF(J7,"Sí")+COUNTIF(K7,"Sí")</f>
        <v>3</v>
      </c>
      <c r="M7" s="4" t="s">
        <v>24</v>
      </c>
      <c r="N7" s="6" t="s">
        <v>38</v>
      </c>
    </row>
    <row r="8" customFormat="false" ht="23.85" hidden="false" customHeight="false" outlineLevel="0" collapsed="false">
      <c r="A8" s="4" t="s">
        <v>39</v>
      </c>
      <c r="B8" s="5" t="s">
        <v>17</v>
      </c>
      <c r="C8" s="4" t="s">
        <v>18</v>
      </c>
      <c r="D8" s="5" t="s">
        <v>19</v>
      </c>
      <c r="E8" s="5" t="n">
        <v>3</v>
      </c>
      <c r="F8" s="5" t="s">
        <v>20</v>
      </c>
      <c r="G8" s="4" t="s">
        <v>40</v>
      </c>
      <c r="H8" s="6" t="s">
        <v>41</v>
      </c>
      <c r="I8" s="7" t="s">
        <v>23</v>
      </c>
      <c r="J8" s="7" t="s">
        <v>23</v>
      </c>
      <c r="K8" s="7" t="s">
        <v>23</v>
      </c>
      <c r="L8" s="5" t="n">
        <f aca="false">COUNTIF(I8,"Sí")+COUNTIF(J8,"Sí")+COUNTIF(K8,"Sí")</f>
        <v>3</v>
      </c>
      <c r="M8" s="4" t="s">
        <v>24</v>
      </c>
      <c r="N8" s="6" t="s">
        <v>25</v>
      </c>
    </row>
    <row r="9" customFormat="false" ht="23.85" hidden="false" customHeight="false" outlineLevel="0" collapsed="false">
      <c r="A9" s="4" t="s">
        <v>42</v>
      </c>
      <c r="B9" s="5" t="s">
        <v>17</v>
      </c>
      <c r="C9" s="4" t="s">
        <v>18</v>
      </c>
      <c r="D9" s="5" t="s">
        <v>43</v>
      </c>
      <c r="E9" s="5" t="n">
        <v>3</v>
      </c>
      <c r="F9" s="5" t="s">
        <v>44</v>
      </c>
      <c r="G9" s="4" t="s">
        <v>45</v>
      </c>
      <c r="H9" s="6" t="s">
        <v>46</v>
      </c>
      <c r="I9" s="7" t="s">
        <v>23</v>
      </c>
      <c r="J9" s="7" t="s">
        <v>23</v>
      </c>
      <c r="K9" s="7" t="s">
        <v>23</v>
      </c>
      <c r="L9" s="5" t="n">
        <f aca="false">COUNTIF(I9,"Sí")+COUNTIF(J9,"Sí")+COUNTIF(K9,"Sí")</f>
        <v>3</v>
      </c>
      <c r="M9" s="4" t="s">
        <v>24</v>
      </c>
      <c r="N9" s="6" t="s">
        <v>47</v>
      </c>
    </row>
    <row r="10" customFormat="false" ht="23.85" hidden="false" customHeight="false" outlineLevel="0" collapsed="false">
      <c r="A10" s="4" t="s">
        <v>48</v>
      </c>
      <c r="B10" s="5" t="s">
        <v>17</v>
      </c>
      <c r="C10" s="4" t="s">
        <v>18</v>
      </c>
      <c r="D10" s="5" t="s">
        <v>43</v>
      </c>
      <c r="E10" s="5" t="n">
        <v>15</v>
      </c>
      <c r="F10" s="5" t="s">
        <v>44</v>
      </c>
      <c r="G10" s="4" t="s">
        <v>45</v>
      </c>
      <c r="H10" s="6" t="s">
        <v>46</v>
      </c>
      <c r="I10" s="7" t="s">
        <v>23</v>
      </c>
      <c r="J10" s="7" t="s">
        <v>23</v>
      </c>
      <c r="K10" s="7" t="s">
        <v>23</v>
      </c>
      <c r="L10" s="5" t="n">
        <f aca="false">COUNTIF(I10,"Sí")+COUNTIF(J10,"Sí")+COUNTIF(K10,"Sí")</f>
        <v>3</v>
      </c>
      <c r="M10" s="4" t="s">
        <v>24</v>
      </c>
      <c r="N10" s="6" t="s">
        <v>47</v>
      </c>
    </row>
    <row r="11" customFormat="false" ht="23.85" hidden="false" customHeight="false" outlineLevel="0" collapsed="false">
      <c r="A11" s="8" t="s">
        <v>49</v>
      </c>
      <c r="B11" s="9" t="s">
        <v>50</v>
      </c>
      <c r="C11" s="8" t="s">
        <v>51</v>
      </c>
      <c r="D11" s="9" t="s">
        <v>52</v>
      </c>
      <c r="E11" s="9" t="n">
        <v>3</v>
      </c>
      <c r="F11" s="9" t="s">
        <v>20</v>
      </c>
      <c r="G11" s="8" t="s">
        <v>40</v>
      </c>
      <c r="H11" s="6" t="s">
        <v>33</v>
      </c>
      <c r="I11" s="7" t="s">
        <v>23</v>
      </c>
      <c r="J11" s="7" t="s">
        <v>23</v>
      </c>
      <c r="K11" s="7" t="s">
        <v>23</v>
      </c>
      <c r="L11" s="9" t="n">
        <f aca="false">COUNTIF(I11,"Sí")+COUNTIF(J11,"Sí")+COUNTIF(K11,"Sí")</f>
        <v>3</v>
      </c>
      <c r="M11" s="8" t="s">
        <v>53</v>
      </c>
      <c r="N11" s="6" t="s">
        <v>54</v>
      </c>
    </row>
    <row r="12" customFormat="false" ht="23.85" hidden="false" customHeight="false" outlineLevel="0" collapsed="false">
      <c r="A12" s="8" t="s">
        <v>55</v>
      </c>
      <c r="B12" s="9" t="s">
        <v>50</v>
      </c>
      <c r="C12" s="8" t="s">
        <v>51</v>
      </c>
      <c r="D12" s="9" t="s">
        <v>52</v>
      </c>
      <c r="E12" s="9" t="n">
        <v>3</v>
      </c>
      <c r="F12" s="9" t="s">
        <v>20</v>
      </c>
      <c r="G12" s="8" t="s">
        <v>56</v>
      </c>
      <c r="H12" s="6" t="s">
        <v>30</v>
      </c>
      <c r="I12" s="7" t="s">
        <v>23</v>
      </c>
      <c r="J12" s="7" t="s">
        <v>23</v>
      </c>
      <c r="K12" s="7" t="s">
        <v>23</v>
      </c>
      <c r="L12" s="9" t="n">
        <f aca="false">COUNTIF(I12,"Sí")+COUNTIF(J12,"Sí")+COUNTIF(K12,"Sí")</f>
        <v>3</v>
      </c>
      <c r="M12" s="8" t="s">
        <v>53</v>
      </c>
      <c r="N12" s="6" t="s">
        <v>57</v>
      </c>
    </row>
    <row r="13" customFormat="false" ht="23.85" hidden="false" customHeight="false" outlineLevel="0" collapsed="false">
      <c r="A13" s="8" t="s">
        <v>58</v>
      </c>
      <c r="B13" s="9" t="s">
        <v>50</v>
      </c>
      <c r="C13" s="8" t="s">
        <v>59</v>
      </c>
      <c r="D13" s="9" t="s">
        <v>52</v>
      </c>
      <c r="E13" s="9" t="n">
        <v>3</v>
      </c>
      <c r="F13" s="9" t="s">
        <v>35</v>
      </c>
      <c r="G13" s="8" t="s">
        <v>60</v>
      </c>
      <c r="H13" s="6" t="s">
        <v>41</v>
      </c>
      <c r="I13" s="7" t="s">
        <v>23</v>
      </c>
      <c r="J13" s="7" t="s">
        <v>23</v>
      </c>
      <c r="K13" s="7" t="s">
        <v>23</v>
      </c>
      <c r="L13" s="9" t="n">
        <f aca="false">COUNTIF(I13,"Sí")+COUNTIF(J13,"Sí")+COUNTIF(K13,"Sí")</f>
        <v>3</v>
      </c>
      <c r="M13" s="8" t="s">
        <v>53</v>
      </c>
      <c r="N13" s="6" t="s">
        <v>61</v>
      </c>
    </row>
    <row r="14" customFormat="false" ht="23.85" hidden="false" customHeight="false" outlineLevel="0" collapsed="false">
      <c r="A14" s="8" t="s">
        <v>62</v>
      </c>
      <c r="B14" s="9" t="s">
        <v>50</v>
      </c>
      <c r="C14" s="8" t="s">
        <v>63</v>
      </c>
      <c r="D14" s="9" t="s">
        <v>64</v>
      </c>
      <c r="E14" s="9" t="n">
        <v>3</v>
      </c>
      <c r="F14" s="9" t="s">
        <v>20</v>
      </c>
      <c r="G14" s="8" t="s">
        <v>65</v>
      </c>
      <c r="H14" s="6" t="s">
        <v>33</v>
      </c>
      <c r="I14" s="7" t="s">
        <v>23</v>
      </c>
      <c r="J14" s="7" t="s">
        <v>23</v>
      </c>
      <c r="K14" s="7" t="s">
        <v>23</v>
      </c>
      <c r="L14" s="9" t="n">
        <f aca="false">COUNTIF(I14,"Sí")+COUNTIF(J14,"Sí")+COUNTIF(K14,"Sí")</f>
        <v>3</v>
      </c>
      <c r="M14" s="8" t="s">
        <v>53</v>
      </c>
      <c r="N14" s="6" t="s">
        <v>66</v>
      </c>
    </row>
    <row r="15" customFormat="false" ht="23.85" hidden="false" customHeight="false" outlineLevel="0" collapsed="false">
      <c r="A15" s="8" t="s">
        <v>67</v>
      </c>
      <c r="B15" s="9" t="s">
        <v>50</v>
      </c>
      <c r="C15" s="8" t="s">
        <v>51</v>
      </c>
      <c r="D15" s="9" t="s">
        <v>64</v>
      </c>
      <c r="E15" s="9" t="n">
        <v>3</v>
      </c>
      <c r="F15" s="9" t="s">
        <v>20</v>
      </c>
      <c r="G15" s="8" t="s">
        <v>68</v>
      </c>
      <c r="H15" s="6" t="s">
        <v>30</v>
      </c>
      <c r="I15" s="7" t="s">
        <v>23</v>
      </c>
      <c r="J15" s="7" t="s">
        <v>23</v>
      </c>
      <c r="K15" s="7" t="s">
        <v>23</v>
      </c>
      <c r="L15" s="9" t="n">
        <f aca="false">COUNTIF(I15,"Sí")+COUNTIF(J15,"Sí")+COUNTIF(K15,"Sí")</f>
        <v>3</v>
      </c>
      <c r="M15" s="8" t="s">
        <v>53</v>
      </c>
      <c r="N15" s="6" t="s">
        <v>69</v>
      </c>
    </row>
    <row r="16" customFormat="false" ht="35.05" hidden="false" customHeight="false" outlineLevel="0" collapsed="false">
      <c r="A16" s="10" t="s">
        <v>70</v>
      </c>
      <c r="B16" s="11" t="s">
        <v>50</v>
      </c>
      <c r="C16" s="10" t="s">
        <v>51</v>
      </c>
      <c r="D16" s="11" t="s">
        <v>52</v>
      </c>
      <c r="E16" s="11" t="n">
        <v>3</v>
      </c>
      <c r="F16" s="11" t="s">
        <v>20</v>
      </c>
      <c r="G16" s="10" t="s">
        <v>71</v>
      </c>
      <c r="H16" s="6" t="s">
        <v>37</v>
      </c>
      <c r="I16" s="7" t="s">
        <v>23</v>
      </c>
      <c r="J16" s="7"/>
      <c r="K16" s="7"/>
      <c r="L16" s="11" t="n">
        <f aca="false">COUNTIF(I16,"Sí")+COUNTIF(J16,"Sí")+COUNTIF(K16,"Sí")</f>
        <v>1</v>
      </c>
      <c r="M16" s="10" t="s">
        <v>72</v>
      </c>
      <c r="N16" s="6" t="s">
        <v>73</v>
      </c>
    </row>
    <row r="17" customFormat="false" ht="46.25" hidden="false" customHeight="false" outlineLevel="0" collapsed="false">
      <c r="A17" s="12" t="s">
        <v>74</v>
      </c>
      <c r="B17" s="13" t="s">
        <v>50</v>
      </c>
      <c r="C17" s="12" t="s">
        <v>75</v>
      </c>
      <c r="D17" s="13" t="s">
        <v>52</v>
      </c>
      <c r="E17" s="13" t="n">
        <v>3</v>
      </c>
      <c r="F17" s="13" t="s">
        <v>28</v>
      </c>
      <c r="G17" s="12" t="s">
        <v>76</v>
      </c>
      <c r="H17" s="14" t="s">
        <v>77</v>
      </c>
      <c r="I17" s="7"/>
      <c r="J17" s="7" t="s">
        <v>23</v>
      </c>
      <c r="K17" s="7" t="s">
        <v>23</v>
      </c>
      <c r="L17" s="13" t="n">
        <f aca="false">COUNTIF(I17,"Sí")+COUNTIF(J17,"Sí")+COUNTIF(K17,"Sí")</f>
        <v>2</v>
      </c>
      <c r="M17" s="12" t="s">
        <v>78</v>
      </c>
      <c r="N17" s="6" t="s">
        <v>79</v>
      </c>
    </row>
    <row r="18" customFormat="false" ht="23.85" hidden="false" customHeight="false" outlineLevel="0" collapsed="false">
      <c r="A18" s="10" t="s">
        <v>80</v>
      </c>
      <c r="B18" s="11" t="s">
        <v>50</v>
      </c>
      <c r="C18" s="10" t="s">
        <v>51</v>
      </c>
      <c r="D18" s="11" t="s">
        <v>64</v>
      </c>
      <c r="E18" s="11" t="n">
        <v>3</v>
      </c>
      <c r="F18" s="11" t="s">
        <v>20</v>
      </c>
      <c r="G18" s="10" t="s">
        <v>71</v>
      </c>
      <c r="H18" s="6" t="s">
        <v>37</v>
      </c>
      <c r="I18" s="7" t="s">
        <v>23</v>
      </c>
      <c r="J18" s="7"/>
      <c r="K18" s="7"/>
      <c r="L18" s="11" t="n">
        <f aca="false">COUNTIF(I18,"Sí")+COUNTIF(J18,"Sí")+COUNTIF(K18,"Sí")</f>
        <v>1</v>
      </c>
      <c r="M18" s="10" t="s">
        <v>72</v>
      </c>
      <c r="N18" s="6" t="s">
        <v>81</v>
      </c>
    </row>
    <row r="19" customFormat="false" ht="46.25" hidden="false" customHeight="false" outlineLevel="0" collapsed="false">
      <c r="A19" s="12" t="s">
        <v>82</v>
      </c>
      <c r="B19" s="13" t="s">
        <v>50</v>
      </c>
      <c r="C19" s="12" t="s">
        <v>63</v>
      </c>
      <c r="D19" s="13" t="s">
        <v>83</v>
      </c>
      <c r="E19" s="13" t="n">
        <v>3</v>
      </c>
      <c r="F19" s="13" t="s">
        <v>28</v>
      </c>
      <c r="G19" s="12" t="s">
        <v>84</v>
      </c>
      <c r="H19" s="14" t="s">
        <v>85</v>
      </c>
      <c r="I19" s="7"/>
      <c r="J19" s="7" t="s">
        <v>23</v>
      </c>
      <c r="K19" s="7" t="s">
        <v>23</v>
      </c>
      <c r="L19" s="13" t="n">
        <f aca="false">COUNTIF(I19,"Sí")+COUNTIF(J19,"Sí")+COUNTIF(K19,"Sí")</f>
        <v>2</v>
      </c>
      <c r="M19" s="12" t="s">
        <v>78</v>
      </c>
      <c r="N19" s="6" t="s">
        <v>86</v>
      </c>
    </row>
    <row r="20" customFormat="false" ht="57.45" hidden="false" customHeight="false" outlineLevel="0" collapsed="false">
      <c r="A20" s="12" t="s">
        <v>87</v>
      </c>
      <c r="B20" s="13" t="s">
        <v>50</v>
      </c>
      <c r="C20" s="12" t="s">
        <v>63</v>
      </c>
      <c r="D20" s="13" t="s">
        <v>64</v>
      </c>
      <c r="E20" s="13" t="n">
        <v>3</v>
      </c>
      <c r="F20" s="13" t="s">
        <v>35</v>
      </c>
      <c r="G20" s="12" t="s">
        <v>88</v>
      </c>
      <c r="H20" s="14" t="s">
        <v>77</v>
      </c>
      <c r="I20" s="7"/>
      <c r="J20" s="7" t="s">
        <v>23</v>
      </c>
      <c r="K20" s="7" t="s">
        <v>23</v>
      </c>
      <c r="L20" s="13" t="n">
        <f aca="false">COUNTIF(I20,"Sí")+COUNTIF(J20,"Sí")+COUNTIF(K20,"Sí")</f>
        <v>2</v>
      </c>
      <c r="M20" s="12" t="s">
        <v>78</v>
      </c>
      <c r="N20" s="6" t="s">
        <v>89</v>
      </c>
    </row>
    <row r="21" customFormat="false" ht="35.05" hidden="false" customHeight="false" outlineLevel="0" collapsed="false">
      <c r="A21" s="10" t="s">
        <v>90</v>
      </c>
      <c r="B21" s="11" t="s">
        <v>50</v>
      </c>
      <c r="C21" s="10" t="s">
        <v>63</v>
      </c>
      <c r="D21" s="11" t="s">
        <v>64</v>
      </c>
      <c r="E21" s="11" t="n">
        <v>3</v>
      </c>
      <c r="F21" s="11" t="s">
        <v>28</v>
      </c>
      <c r="G21" s="10" t="s">
        <v>84</v>
      </c>
      <c r="H21" s="14" t="s">
        <v>91</v>
      </c>
      <c r="I21" s="7"/>
      <c r="J21" s="7"/>
      <c r="K21" s="7"/>
      <c r="L21" s="11" t="n">
        <f aca="false">COUNTIF(I21,"Sí")+COUNTIF(J21,"Sí")+COUNTIF(K21,"Sí")</f>
        <v>0</v>
      </c>
      <c r="M21" s="10" t="s">
        <v>92</v>
      </c>
      <c r="N21" s="6" t="s">
        <v>93</v>
      </c>
    </row>
    <row r="22" customFormat="false" ht="23.85" hidden="false" customHeight="false" outlineLevel="0" collapsed="false">
      <c r="A22" s="12" t="s">
        <v>94</v>
      </c>
      <c r="B22" s="13" t="s">
        <v>50</v>
      </c>
      <c r="C22" s="12" t="s">
        <v>59</v>
      </c>
      <c r="D22" s="13" t="s">
        <v>95</v>
      </c>
      <c r="E22" s="13" t="n">
        <v>3</v>
      </c>
      <c r="F22" s="13" t="s">
        <v>35</v>
      </c>
      <c r="G22" s="12" t="s">
        <v>88</v>
      </c>
      <c r="H22" s="6" t="s">
        <v>37</v>
      </c>
      <c r="I22" s="7" t="s">
        <v>23</v>
      </c>
      <c r="J22" s="7"/>
      <c r="K22" s="7" t="s">
        <v>23</v>
      </c>
      <c r="L22" s="13" t="n">
        <f aca="false">COUNTIF(I22,"Sí")+COUNTIF(J22,"Sí")+COUNTIF(K22,"Sí")</f>
        <v>2</v>
      </c>
      <c r="M22" s="12" t="s">
        <v>96</v>
      </c>
      <c r="N22" s="6" t="s">
        <v>97</v>
      </c>
    </row>
    <row r="23" customFormat="false" ht="23.85" hidden="false" customHeight="false" outlineLevel="0" collapsed="false">
      <c r="A23" s="10" t="s">
        <v>98</v>
      </c>
      <c r="B23" s="11" t="s">
        <v>50</v>
      </c>
      <c r="C23" s="10" t="s">
        <v>99</v>
      </c>
      <c r="D23" s="11" t="s">
        <v>43</v>
      </c>
      <c r="E23" s="11" t="n">
        <v>3</v>
      </c>
      <c r="F23" s="11" t="s">
        <v>44</v>
      </c>
      <c r="G23" s="10" t="s">
        <v>45</v>
      </c>
      <c r="H23" s="6" t="s">
        <v>46</v>
      </c>
      <c r="I23" s="7" t="s">
        <v>23</v>
      </c>
      <c r="J23" s="7"/>
      <c r="K23" s="7"/>
      <c r="L23" s="11" t="n">
        <f aca="false">COUNTIF(I23,"Sí")+COUNTIF(J23,"Sí")+COUNTIF(K23,"Sí")</f>
        <v>1</v>
      </c>
      <c r="M23" s="10" t="s">
        <v>72</v>
      </c>
      <c r="N23" s="6" t="s">
        <v>47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55"/>
  </cols>
  <sheetData>
    <row r="1" customFormat="false" ht="25.5" hidden="false" customHeight="true" outlineLevel="0" collapsed="false">
      <c r="A1" s="1" t="s">
        <v>100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101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2</v>
      </c>
      <c r="B3" s="3" t="s">
        <v>102</v>
      </c>
      <c r="C3" s="3" t="s">
        <v>103</v>
      </c>
      <c r="D3" s="3" t="s">
        <v>104</v>
      </c>
      <c r="E3" s="3" t="s">
        <v>105</v>
      </c>
      <c r="F3" s="3" t="s">
        <v>106</v>
      </c>
    </row>
    <row r="4" customFormat="false" ht="23.85" hidden="false" customHeight="false" outlineLevel="0" collapsed="false">
      <c r="A4" s="8" t="s">
        <v>49</v>
      </c>
      <c r="B4" s="9" t="n">
        <v>3</v>
      </c>
      <c r="C4" s="8" t="s">
        <v>107</v>
      </c>
      <c r="D4" s="8" t="s">
        <v>52</v>
      </c>
      <c r="E4" s="8" t="s">
        <v>33</v>
      </c>
      <c r="F4" s="8" t="s">
        <v>108</v>
      </c>
    </row>
    <row r="5" customFormat="false" ht="23.85" hidden="false" customHeight="false" outlineLevel="0" collapsed="false">
      <c r="A5" s="8" t="s">
        <v>55</v>
      </c>
      <c r="B5" s="9" t="n">
        <v>3</v>
      </c>
      <c r="C5" s="8" t="s">
        <v>107</v>
      </c>
      <c r="D5" s="8" t="s">
        <v>52</v>
      </c>
      <c r="E5" s="8" t="s">
        <v>30</v>
      </c>
      <c r="F5" s="8" t="s">
        <v>109</v>
      </c>
    </row>
    <row r="6" customFormat="false" ht="23.85" hidden="false" customHeight="false" outlineLevel="0" collapsed="false">
      <c r="A6" s="8" t="s">
        <v>58</v>
      </c>
      <c r="B6" s="9" t="n">
        <v>3</v>
      </c>
      <c r="C6" s="8" t="s">
        <v>107</v>
      </c>
      <c r="D6" s="8" t="s">
        <v>52</v>
      </c>
      <c r="E6" s="8" t="s">
        <v>41</v>
      </c>
      <c r="F6" s="8" t="s">
        <v>110</v>
      </c>
    </row>
    <row r="7" customFormat="false" ht="23.85" hidden="false" customHeight="false" outlineLevel="0" collapsed="false">
      <c r="A7" s="8" t="s">
        <v>62</v>
      </c>
      <c r="B7" s="9" t="n">
        <v>3</v>
      </c>
      <c r="C7" s="8" t="s">
        <v>107</v>
      </c>
      <c r="D7" s="8" t="s">
        <v>64</v>
      </c>
      <c r="E7" s="8" t="s">
        <v>33</v>
      </c>
      <c r="F7" s="8" t="s">
        <v>111</v>
      </c>
    </row>
    <row r="8" customFormat="false" ht="23.85" hidden="false" customHeight="false" outlineLevel="0" collapsed="false">
      <c r="A8" s="8" t="s">
        <v>67</v>
      </c>
      <c r="B8" s="9" t="n">
        <v>3</v>
      </c>
      <c r="C8" s="8" t="s">
        <v>107</v>
      </c>
      <c r="D8" s="8" t="s">
        <v>64</v>
      </c>
      <c r="E8" s="8" t="s">
        <v>30</v>
      </c>
      <c r="F8" s="8" t="s">
        <v>112</v>
      </c>
    </row>
    <row r="9" customFormat="false" ht="23.85" hidden="false" customHeight="false" outlineLevel="0" collapsed="false">
      <c r="A9" s="12" t="s">
        <v>94</v>
      </c>
      <c r="B9" s="13" t="n">
        <v>2</v>
      </c>
      <c r="C9" s="12" t="s">
        <v>113</v>
      </c>
      <c r="D9" s="12" t="s">
        <v>95</v>
      </c>
      <c r="E9" s="12" t="s">
        <v>37</v>
      </c>
      <c r="F9" s="12" t="s">
        <v>114</v>
      </c>
    </row>
    <row r="10" customFormat="false" ht="23.85" hidden="false" customHeight="false" outlineLevel="0" collapsed="false">
      <c r="A10" s="12" t="s">
        <v>74</v>
      </c>
      <c r="B10" s="13" t="n">
        <v>2</v>
      </c>
      <c r="C10" s="12" t="s">
        <v>115</v>
      </c>
      <c r="D10" s="12" t="s">
        <v>52</v>
      </c>
      <c r="E10" s="12" t="s">
        <v>116</v>
      </c>
      <c r="F10" s="12" t="s">
        <v>117</v>
      </c>
    </row>
    <row r="11" customFormat="false" ht="23.85" hidden="false" customHeight="false" outlineLevel="0" collapsed="false">
      <c r="A11" s="12" t="s">
        <v>82</v>
      </c>
      <c r="B11" s="13" t="n">
        <v>2</v>
      </c>
      <c r="C11" s="12" t="s">
        <v>115</v>
      </c>
      <c r="D11" s="12" t="s">
        <v>83</v>
      </c>
      <c r="E11" s="12" t="s">
        <v>118</v>
      </c>
      <c r="F11" s="12" t="s">
        <v>119</v>
      </c>
    </row>
    <row r="12" customFormat="false" ht="23.85" hidden="false" customHeight="false" outlineLevel="0" collapsed="false">
      <c r="A12" s="12" t="s">
        <v>87</v>
      </c>
      <c r="B12" s="13" t="n">
        <v>2</v>
      </c>
      <c r="C12" s="12" t="s">
        <v>115</v>
      </c>
      <c r="D12" s="12" t="s">
        <v>64</v>
      </c>
      <c r="E12" s="12" t="s">
        <v>116</v>
      </c>
      <c r="F12" s="12" t="s">
        <v>120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46"/>
  </cols>
  <sheetData>
    <row r="1" customFormat="false" ht="25.5" hidden="false" customHeight="true" outlineLevel="0" collapsed="false">
      <c r="A1" s="1" t="s">
        <v>121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122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123</v>
      </c>
      <c r="B3" s="3" t="s">
        <v>124</v>
      </c>
      <c r="C3" s="3" t="s">
        <v>104</v>
      </c>
      <c r="D3" s="3" t="s">
        <v>105</v>
      </c>
      <c r="E3" s="3" t="s">
        <v>125</v>
      </c>
      <c r="F3" s="3" t="s">
        <v>126</v>
      </c>
    </row>
    <row r="4" customFormat="false" ht="23.85" hidden="false" customHeight="false" outlineLevel="0" collapsed="false">
      <c r="A4" s="11" t="s">
        <v>127</v>
      </c>
      <c r="B4" s="10" t="s">
        <v>70</v>
      </c>
      <c r="C4" s="10" t="s">
        <v>52</v>
      </c>
      <c r="D4" s="10" t="s">
        <v>37</v>
      </c>
      <c r="E4" s="10" t="s">
        <v>128</v>
      </c>
      <c r="F4" s="10" t="s">
        <v>129</v>
      </c>
    </row>
    <row r="5" customFormat="false" ht="23.85" hidden="false" customHeight="false" outlineLevel="0" collapsed="false">
      <c r="A5" s="11" t="s">
        <v>127</v>
      </c>
      <c r="B5" s="10" t="s">
        <v>80</v>
      </c>
      <c r="C5" s="10" t="s">
        <v>64</v>
      </c>
      <c r="D5" s="10" t="s">
        <v>37</v>
      </c>
      <c r="E5" s="10" t="s">
        <v>130</v>
      </c>
      <c r="F5" s="10" t="s">
        <v>131</v>
      </c>
    </row>
    <row r="6" customFormat="false" ht="46.25" hidden="false" customHeight="false" outlineLevel="0" collapsed="false">
      <c r="A6" s="11" t="s">
        <v>127</v>
      </c>
      <c r="B6" s="10" t="s">
        <v>98</v>
      </c>
      <c r="C6" s="10" t="s">
        <v>43</v>
      </c>
      <c r="D6" s="10" t="s">
        <v>46</v>
      </c>
      <c r="E6" s="10" t="s">
        <v>132</v>
      </c>
      <c r="F6" s="10" t="s">
        <v>133</v>
      </c>
    </row>
    <row r="7" customFormat="false" ht="35.05" hidden="false" customHeight="false" outlineLevel="0" collapsed="false">
      <c r="A7" s="11" t="s">
        <v>134</v>
      </c>
      <c r="B7" s="10" t="s">
        <v>90</v>
      </c>
      <c r="C7" s="10" t="s">
        <v>64</v>
      </c>
      <c r="D7" s="10" t="s">
        <v>116</v>
      </c>
      <c r="E7" s="10" t="s">
        <v>135</v>
      </c>
      <c r="F7" s="10" t="s">
        <v>136</v>
      </c>
    </row>
    <row r="8" customFormat="false" ht="46.25" hidden="false" customHeight="false" outlineLevel="0" collapsed="false">
      <c r="A8" s="15" t="s">
        <v>137</v>
      </c>
      <c r="B8" s="16" t="s">
        <v>138</v>
      </c>
      <c r="C8" s="16" t="s">
        <v>139</v>
      </c>
      <c r="D8" s="16" t="s">
        <v>139</v>
      </c>
      <c r="E8" s="16" t="s">
        <v>140</v>
      </c>
      <c r="F8" s="16" t="s">
        <v>141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46"/>
  </cols>
  <sheetData>
    <row r="1" customFormat="false" ht="25.5" hidden="false" customHeight="true" outlineLevel="0" collapsed="false">
      <c r="A1" s="1" t="s">
        <v>142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143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104</v>
      </c>
      <c r="B3" s="3" t="s">
        <v>144</v>
      </c>
      <c r="C3" s="3" t="s">
        <v>145</v>
      </c>
      <c r="D3" s="3" t="s">
        <v>146</v>
      </c>
      <c r="E3" s="3" t="s">
        <v>147</v>
      </c>
      <c r="F3" s="3" t="s">
        <v>148</v>
      </c>
    </row>
    <row r="4" customFormat="false" ht="23.85" hidden="false" customHeight="false" outlineLevel="0" collapsed="false">
      <c r="A4" s="6" t="s">
        <v>149</v>
      </c>
      <c r="B4" s="7" t="s">
        <v>150</v>
      </c>
      <c r="C4" s="6" t="s">
        <v>151</v>
      </c>
      <c r="D4" s="6" t="s">
        <v>152</v>
      </c>
      <c r="E4" s="9" t="s">
        <v>153</v>
      </c>
      <c r="F4" s="6" t="s">
        <v>154</v>
      </c>
    </row>
    <row r="5" customFormat="false" ht="23.85" hidden="false" customHeight="false" outlineLevel="0" collapsed="false">
      <c r="A5" s="6" t="s">
        <v>155</v>
      </c>
      <c r="B5" s="7" t="s">
        <v>156</v>
      </c>
      <c r="C5" s="6" t="s">
        <v>157</v>
      </c>
      <c r="D5" s="6" t="s">
        <v>152</v>
      </c>
      <c r="E5" s="9" t="s">
        <v>153</v>
      </c>
      <c r="F5" s="6" t="s">
        <v>158</v>
      </c>
    </row>
    <row r="6" customFormat="false" ht="15" hidden="false" customHeight="false" outlineLevel="0" collapsed="false">
      <c r="A6" s="6" t="s">
        <v>52</v>
      </c>
      <c r="B6" s="7" t="s">
        <v>33</v>
      </c>
      <c r="C6" s="6" t="s">
        <v>49</v>
      </c>
      <c r="D6" s="6" t="s">
        <v>159</v>
      </c>
      <c r="E6" s="9" t="s">
        <v>160</v>
      </c>
      <c r="F6" s="6"/>
    </row>
    <row r="7" customFormat="false" ht="15" hidden="false" customHeight="false" outlineLevel="0" collapsed="false">
      <c r="A7" s="6" t="s">
        <v>52</v>
      </c>
      <c r="B7" s="7" t="s">
        <v>30</v>
      </c>
      <c r="C7" s="6" t="s">
        <v>55</v>
      </c>
      <c r="D7" s="6" t="s">
        <v>159</v>
      </c>
      <c r="E7" s="9" t="s">
        <v>160</v>
      </c>
      <c r="F7" s="6"/>
    </row>
    <row r="8" customFormat="false" ht="46.25" hidden="false" customHeight="false" outlineLevel="0" collapsed="false">
      <c r="A8" s="6" t="s">
        <v>52</v>
      </c>
      <c r="B8" s="7" t="s">
        <v>37</v>
      </c>
      <c r="C8" s="6" t="s">
        <v>161</v>
      </c>
      <c r="D8" s="6" t="s">
        <v>162</v>
      </c>
      <c r="E8" s="13" t="s">
        <v>163</v>
      </c>
      <c r="F8" s="6" t="s">
        <v>164</v>
      </c>
    </row>
    <row r="9" customFormat="false" ht="15" hidden="false" customHeight="false" outlineLevel="0" collapsed="false">
      <c r="A9" s="6" t="s">
        <v>52</v>
      </c>
      <c r="B9" s="7" t="s">
        <v>41</v>
      </c>
      <c r="C9" s="6" t="s">
        <v>58</v>
      </c>
      <c r="D9" s="6" t="s">
        <v>159</v>
      </c>
      <c r="E9" s="9" t="s">
        <v>160</v>
      </c>
      <c r="F9" s="6"/>
    </row>
    <row r="10" customFormat="false" ht="35.05" hidden="false" customHeight="false" outlineLevel="0" collapsed="false">
      <c r="A10" s="6" t="s">
        <v>83</v>
      </c>
      <c r="B10" s="7" t="s">
        <v>165</v>
      </c>
      <c r="C10" s="6" t="s">
        <v>166</v>
      </c>
      <c r="D10" s="6" t="s">
        <v>167</v>
      </c>
      <c r="E10" s="17" t="s">
        <v>168</v>
      </c>
      <c r="F10" s="6" t="s">
        <v>169</v>
      </c>
    </row>
    <row r="11" customFormat="false" ht="15" hidden="false" customHeight="false" outlineLevel="0" collapsed="false">
      <c r="A11" s="6" t="s">
        <v>64</v>
      </c>
      <c r="B11" s="7" t="s">
        <v>33</v>
      </c>
      <c r="C11" s="6" t="s">
        <v>62</v>
      </c>
      <c r="D11" s="6" t="s">
        <v>159</v>
      </c>
      <c r="E11" s="9" t="s">
        <v>160</v>
      </c>
      <c r="F11" s="6"/>
    </row>
    <row r="12" customFormat="false" ht="15" hidden="false" customHeight="false" outlineLevel="0" collapsed="false">
      <c r="A12" s="6" t="s">
        <v>64</v>
      </c>
      <c r="B12" s="7" t="s">
        <v>37</v>
      </c>
      <c r="C12" s="6" t="s">
        <v>170</v>
      </c>
      <c r="D12" s="6" t="s">
        <v>171</v>
      </c>
      <c r="E12" s="9" t="s">
        <v>160</v>
      </c>
      <c r="F12" s="6" t="s">
        <v>172</v>
      </c>
    </row>
    <row r="13" customFormat="false" ht="15" hidden="false" customHeight="false" outlineLevel="0" collapsed="false">
      <c r="A13" s="6" t="s">
        <v>64</v>
      </c>
      <c r="B13" s="7" t="s">
        <v>30</v>
      </c>
      <c r="C13" s="6" t="s">
        <v>67</v>
      </c>
      <c r="D13" s="6" t="s">
        <v>159</v>
      </c>
      <c r="E13" s="9" t="s">
        <v>160</v>
      </c>
      <c r="F13" s="6"/>
    </row>
    <row r="14" customFormat="false" ht="57.45" hidden="false" customHeight="false" outlineLevel="0" collapsed="false">
      <c r="A14" s="6" t="s">
        <v>64</v>
      </c>
      <c r="B14" s="7" t="s">
        <v>165</v>
      </c>
      <c r="C14" s="6" t="s">
        <v>173</v>
      </c>
      <c r="D14" s="6" t="s">
        <v>174</v>
      </c>
      <c r="E14" s="18" t="s">
        <v>175</v>
      </c>
      <c r="F14" s="6" t="s">
        <v>176</v>
      </c>
    </row>
    <row r="15" customFormat="false" ht="23.85" hidden="false" customHeight="false" outlineLevel="0" collapsed="false">
      <c r="A15" s="6" t="s">
        <v>95</v>
      </c>
      <c r="B15" s="7" t="s">
        <v>37</v>
      </c>
      <c r="C15" s="6" t="s">
        <v>94</v>
      </c>
      <c r="D15" s="6" t="s">
        <v>177</v>
      </c>
      <c r="E15" s="9" t="s">
        <v>160</v>
      </c>
      <c r="F15" s="6" t="s">
        <v>178</v>
      </c>
    </row>
    <row r="17" customFormat="false" ht="15" hidden="false" customHeight="false" outlineLevel="0" collapsed="false">
      <c r="A17" s="19" t="s">
        <v>179</v>
      </c>
      <c r="B17" s="19"/>
      <c r="C17" s="19"/>
      <c r="D17" s="19"/>
      <c r="E17" s="19"/>
      <c r="F17" s="19"/>
    </row>
    <row r="18" customFormat="false" ht="60" hidden="false" customHeight="true" outlineLevel="0" collapsed="false">
      <c r="A18" s="20" t="s">
        <v>180</v>
      </c>
      <c r="B18" s="20"/>
      <c r="C18" s="20"/>
      <c r="D18" s="20"/>
      <c r="E18" s="20"/>
      <c r="F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</row>
  </sheetData>
  <mergeCells count="4">
    <mergeCell ref="A1:F1"/>
    <mergeCell ref="A2:F2"/>
    <mergeCell ref="A17:F17"/>
    <mergeCell ref="A18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2026-07-26T18:55:07Z</dcterms:created>
  <dc:creator>openpyxl</dc:creator>
  <dc:description/>
  <dc:language>en-US</dc:language>
  <cp:lastModifiedBy/>
  <dcterms:modified xsi:type="dcterms:W3CDTF">2026-07-26T18:55:07Z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